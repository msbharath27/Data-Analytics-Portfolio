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ar\Downloads\"/>
    </mc:Choice>
  </mc:AlternateContent>
  <xr:revisionPtr revIDLastSave="0" documentId="13_ncr:1_{715C2A7D-CE9B-483C-8F6A-DAEBC770078A}" xr6:coauthVersionLast="47" xr6:coauthVersionMax="47" xr10:uidLastSave="{00000000-0000-0000-0000-000000000000}"/>
  <bookViews>
    <workbookView xWindow="-108" yWindow="-108" windowWidth="23256" windowHeight="12456" activeTab="2" xr2:uid="{C4CB902A-7D16-4B4C-958C-3DFB61C8989A}"/>
  </bookViews>
  <sheets>
    <sheet name="BikeSales_2021" sheetId="1" r:id="rId1"/>
    <sheet name="BikeSales_2022" sheetId="2" r:id="rId2"/>
    <sheet name="Ave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  <c r="C2" i="3"/>
  <c r="B2" i="3"/>
  <c r="A2" i="3"/>
  <c r="R6" i="2"/>
  <c r="Q6" i="2"/>
  <c r="P6" i="2"/>
  <c r="R5" i="2"/>
  <c r="Q5" i="2"/>
  <c r="P5" i="2"/>
  <c r="R4" i="2"/>
  <c r="P4" i="2" s="1"/>
  <c r="Q4" i="2"/>
  <c r="R3" i="2"/>
  <c r="Q3" i="2"/>
  <c r="P3" i="2"/>
  <c r="R2" i="2"/>
  <c r="Q2" i="2"/>
  <c r="P2" i="2"/>
  <c r="R14" i="1"/>
  <c r="Q14" i="1"/>
  <c r="P14" i="1"/>
  <c r="R13" i="1"/>
  <c r="Q13" i="1"/>
  <c r="P13" i="1"/>
  <c r="R12" i="1"/>
  <c r="P12" i="1" s="1"/>
  <c r="Q12" i="1"/>
  <c r="R11" i="1"/>
  <c r="Q11" i="1"/>
  <c r="P11" i="1"/>
  <c r="R10" i="1"/>
  <c r="Q10" i="1"/>
  <c r="P10" i="1"/>
  <c r="R9" i="1"/>
  <c r="P9" i="1" s="1"/>
  <c r="Q9" i="1"/>
  <c r="R8" i="1"/>
  <c r="Q8" i="1"/>
  <c r="P8" i="1"/>
  <c r="R7" i="1"/>
  <c r="Q7" i="1"/>
  <c r="P7" i="1"/>
  <c r="R6" i="1"/>
  <c r="P6" i="1"/>
  <c r="R5" i="1"/>
  <c r="Q5" i="1"/>
  <c r="P5" i="1"/>
  <c r="R4" i="1"/>
  <c r="P4" i="1" s="1"/>
  <c r="Q4" i="1"/>
  <c r="R3" i="1"/>
  <c r="Q3" i="1"/>
  <c r="P3" i="1"/>
  <c r="R2" i="1"/>
  <c r="Q2" i="1"/>
  <c r="P2" i="1"/>
</calcChain>
</file>

<file path=xl/sharedStrings.xml><?xml version="1.0" encoding="utf-8"?>
<sst xmlns="http://schemas.openxmlformats.org/spreadsheetml/2006/main" count="184" uniqueCount="67">
  <si>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</si>
  <si>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</si>
  <si>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</si>
  <si>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</si>
  <si>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</si>
  <si>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</si>
  <si>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</si>
  <si>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</si>
  <si>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</si>
  <si>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</si>
  <si>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</si>
  <si>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</si>
  <si>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</si>
  <si>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</si>
  <si>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</si>
  <si>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</si>
  <si>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</si>
  <si>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</si>
  <si>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</si>
  <si>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</si>
  <si>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</si>
  <si>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</si>
  <si>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</si>
  <si>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</si>
  <si>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</si>
  <si>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</si>
  <si>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</si>
  <si>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</si>
  <si>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</si>
  <si>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</si>
  <si>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</si>
  <si>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</si>
  <si>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</si>
  <si>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</si>
  <si>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</si>
  <si>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</si>
  <si>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</si>
  <si>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</si>
  <si>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</si>
  <si>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</si>
  <si>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</si>
  <si>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</si>
  <si>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</si>
  <si>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</si>
  <si>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</si>
  <si>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</si>
  <si>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</si>
  <si>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</si>
  <si>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</si>
  <si>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</si>
  <si>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</si>
  <si>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</si>
  <si>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</si>
  <si>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</si>
  <si>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</si>
  <si>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</si>
  <si>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</si>
  <si>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</si>
  <si>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</si>
  <si>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</si>
  <si>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</si>
  <si>
    <t>Mountain-200 Silver, 42</t>
  </si>
  <si>
    <t>Road-550-W Yellow, 44</t>
  </si>
  <si>
    <t>2021 Average Cost</t>
  </si>
  <si>
    <t>2021 Average Revenue.</t>
  </si>
  <si>
    <t>2022 Average Cost</t>
  </si>
  <si>
    <t>2022 Average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</si>
</sst>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0" xfId="0" applyAlignment="1"/>
    <xf numFmtId="44" fontId="0" fillId="0" borderId="1" xfId="0" applyNumberFormat="1" applyBorder="1" applyAlignment="1"/>
    <xf numFmtId="4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3C3C-9EC4-44A4-84E6-8FBE7694193D}">
  <dimension ref="A1:R14"/>
  <sheetViews>
    <sheetView workbookViewId="0">
      <selection sqref="A1:XFD1"/>
    </sheetView>
  </sheetViews>
  <sheetFormatPr defaultRowHeight="14.4" x14ac:dyDescent="0.3"/>
  <cols>
    <col min="1" max="1" width="10.33203125" style="4" bestFit="1" customWidth="1"/>
    <col min="2" max="2" width="4.21875" style="4" bestFit="1" customWidth="1"/>
    <col min="3" max="3" width="9.77734375" style="4" bestFit="1" customWidth="1"/>
    <col min="4" max="4" width="5" style="4" bestFit="1" customWidth="1"/>
    <col min="5" max="5" width="13.44140625" style="4" bestFit="1" customWidth="1"/>
    <col min="6" max="6" width="17.88671875" style="4" bestFit="1" customWidth="1"/>
    <col min="7" max="7" width="16.33203125" style="4" bestFit="1" customWidth="1"/>
    <col min="8" max="8" width="14" style="4" bestFit="1" customWidth="1"/>
    <col min="9" max="9" width="14.33203125" style="4" bestFit="1" customWidth="1"/>
    <col min="10" max="10" width="16.33203125" style="4" bestFit="1" customWidth="1"/>
    <col min="11" max="11" width="13.6640625" style="4" bestFit="1" customWidth="1"/>
    <col min="12" max="12" width="20.44140625" style="4" bestFit="1" customWidth="1"/>
    <col min="13" max="13" width="14.21875" style="4" bestFit="1" customWidth="1"/>
    <col min="14" max="15" width="10.33203125" style="4" bestFit="1" customWidth="1"/>
    <col min="16" max="16" width="12" style="4" bestFit="1" customWidth="1"/>
    <col min="17" max="18" width="12.77734375" style="4" bestFit="1" customWidth="1"/>
    <col min="19" max="16384" width="8.88671875" style="4"/>
  </cols>
  <sheetData>
    <row r="1" spans="1:1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x14ac:dyDescent="0.3">
      <c r="A2" s="2">
        <v>44227</v>
      </c>
      <c r="B2" s="1">
        <v>31</v>
      </c>
      <c r="C2" s="1" t="s">
        <v>18</v>
      </c>
      <c r="D2" s="1">
        <v>2021</v>
      </c>
      <c r="E2" s="1">
        <v>39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30</v>
      </c>
      <c r="N2" s="3">
        <v>713</v>
      </c>
      <c r="O2" s="3">
        <v>1120</v>
      </c>
      <c r="P2" s="3">
        <f t="shared" ref="P2:P14" si="0">R2-Q2</f>
        <v>12210</v>
      </c>
      <c r="Q2" s="3">
        <f t="shared" ref="Q2:Q14" si="1">M2*N2</f>
        <v>21390</v>
      </c>
      <c r="R2" s="3">
        <f t="shared" ref="R2:R14" si="2">M2*O2</f>
        <v>33600</v>
      </c>
    </row>
    <row r="3" spans="1:18" x14ac:dyDescent="0.3">
      <c r="A3" s="2">
        <v>44255</v>
      </c>
      <c r="B3" s="1">
        <v>28</v>
      </c>
      <c r="C3" s="1" t="s">
        <v>26</v>
      </c>
      <c r="D3" s="1">
        <v>2021</v>
      </c>
      <c r="E3" s="1">
        <v>33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23</v>
      </c>
      <c r="K3" s="1" t="s">
        <v>24</v>
      </c>
      <c r="L3" s="1" t="s">
        <v>31</v>
      </c>
      <c r="M3" s="1">
        <v>20</v>
      </c>
      <c r="N3" s="3">
        <v>2171</v>
      </c>
      <c r="O3" s="3">
        <v>3578</v>
      </c>
      <c r="P3" s="3">
        <f t="shared" si="0"/>
        <v>28140</v>
      </c>
      <c r="Q3" s="3">
        <f t="shared" si="1"/>
        <v>43420</v>
      </c>
      <c r="R3" s="3">
        <f t="shared" si="2"/>
        <v>71560</v>
      </c>
    </row>
    <row r="4" spans="1:18" x14ac:dyDescent="0.3">
      <c r="A4" s="2">
        <v>44286</v>
      </c>
      <c r="B4" s="1">
        <v>31</v>
      </c>
      <c r="C4" s="1" t="s">
        <v>32</v>
      </c>
      <c r="D4" s="1">
        <v>2021</v>
      </c>
      <c r="E4" s="1">
        <v>17</v>
      </c>
      <c r="F4" s="1" t="s">
        <v>33</v>
      </c>
      <c r="G4" s="1" t="s">
        <v>20</v>
      </c>
      <c r="H4" s="1" t="s">
        <v>34</v>
      </c>
      <c r="I4" s="1" t="s">
        <v>35</v>
      </c>
      <c r="J4" s="1" t="s">
        <v>23</v>
      </c>
      <c r="K4" s="1" t="s">
        <v>24</v>
      </c>
      <c r="L4" s="1" t="s">
        <v>36</v>
      </c>
      <c r="M4" s="1">
        <v>10</v>
      </c>
      <c r="N4" s="3">
        <v>1519</v>
      </c>
      <c r="O4" s="3">
        <v>2443</v>
      </c>
      <c r="P4" s="3">
        <f t="shared" si="0"/>
        <v>9240</v>
      </c>
      <c r="Q4" s="3">
        <f t="shared" si="1"/>
        <v>15190</v>
      </c>
      <c r="R4" s="3">
        <f t="shared" si="2"/>
        <v>24430</v>
      </c>
    </row>
    <row r="5" spans="1:18" x14ac:dyDescent="0.3">
      <c r="A5" s="2">
        <v>44316</v>
      </c>
      <c r="B5" s="1">
        <v>30</v>
      </c>
      <c r="C5" s="1" t="s">
        <v>37</v>
      </c>
      <c r="D5" s="1">
        <v>2021</v>
      </c>
      <c r="E5" s="1">
        <v>23</v>
      </c>
      <c r="F5" s="1" t="s">
        <v>33</v>
      </c>
      <c r="G5" s="1" t="s">
        <v>20</v>
      </c>
      <c r="H5" s="1" t="s">
        <v>38</v>
      </c>
      <c r="I5" s="1" t="s">
        <v>39</v>
      </c>
      <c r="J5" s="1" t="s">
        <v>23</v>
      </c>
      <c r="K5" s="1" t="s">
        <v>40</v>
      </c>
      <c r="L5" s="1" t="s">
        <v>41</v>
      </c>
      <c r="M5" s="1">
        <v>10</v>
      </c>
      <c r="N5" s="3">
        <v>1252</v>
      </c>
      <c r="O5" s="3">
        <v>2295</v>
      </c>
      <c r="P5" s="3">
        <f t="shared" si="0"/>
        <v>10430</v>
      </c>
      <c r="Q5" s="3">
        <f t="shared" si="1"/>
        <v>12520</v>
      </c>
      <c r="R5" s="3">
        <f t="shared" si="2"/>
        <v>22950</v>
      </c>
    </row>
    <row r="6" spans="1:18" x14ac:dyDescent="0.3">
      <c r="A6" s="2">
        <v>44347</v>
      </c>
      <c r="B6" s="1">
        <v>31</v>
      </c>
      <c r="C6" s="1" t="s">
        <v>42</v>
      </c>
      <c r="D6" s="1">
        <v>2021</v>
      </c>
      <c r="E6" s="1">
        <v>42</v>
      </c>
      <c r="F6" s="1" t="s">
        <v>19</v>
      </c>
      <c r="G6" s="1" t="s">
        <v>20</v>
      </c>
      <c r="H6" s="1" t="s">
        <v>21</v>
      </c>
      <c r="I6" s="1" t="s">
        <v>43</v>
      </c>
      <c r="J6" s="1" t="s">
        <v>23</v>
      </c>
      <c r="K6" s="1" t="s">
        <v>24</v>
      </c>
      <c r="L6" s="1" t="s">
        <v>44</v>
      </c>
      <c r="M6" s="1">
        <v>11</v>
      </c>
      <c r="N6" s="3">
        <v>344</v>
      </c>
      <c r="O6" s="3">
        <v>540</v>
      </c>
      <c r="P6" s="3">
        <f t="shared" si="0"/>
        <v>-24060</v>
      </c>
      <c r="Q6" s="3">
        <v>30000</v>
      </c>
      <c r="R6" s="3">
        <f t="shared" si="2"/>
        <v>5940</v>
      </c>
    </row>
    <row r="7" spans="1:18" x14ac:dyDescent="0.3">
      <c r="A7" s="2">
        <v>44377</v>
      </c>
      <c r="B7" s="1">
        <v>30</v>
      </c>
      <c r="C7" s="1" t="s">
        <v>45</v>
      </c>
      <c r="D7" s="1">
        <v>2021</v>
      </c>
      <c r="E7" s="1">
        <v>40</v>
      </c>
      <c r="F7" s="1" t="s">
        <v>19</v>
      </c>
      <c r="G7" s="1" t="s">
        <v>20</v>
      </c>
      <c r="H7" s="1" t="s">
        <v>38</v>
      </c>
      <c r="I7" s="1" t="s">
        <v>39</v>
      </c>
      <c r="J7" s="1" t="s">
        <v>23</v>
      </c>
      <c r="K7" s="1" t="s">
        <v>24</v>
      </c>
      <c r="L7" s="1" t="s">
        <v>46</v>
      </c>
      <c r="M7" s="1">
        <v>14</v>
      </c>
      <c r="N7" s="3">
        <v>713</v>
      </c>
      <c r="O7" s="3">
        <v>1120</v>
      </c>
      <c r="P7" s="3">
        <f t="shared" si="0"/>
        <v>5698</v>
      </c>
      <c r="Q7" s="3">
        <f t="shared" si="1"/>
        <v>9982</v>
      </c>
      <c r="R7" s="3">
        <f t="shared" si="2"/>
        <v>15680</v>
      </c>
    </row>
    <row r="8" spans="1:18" x14ac:dyDescent="0.3">
      <c r="A8" s="2">
        <v>44408</v>
      </c>
      <c r="B8" s="1">
        <v>31</v>
      </c>
      <c r="C8" s="1" t="s">
        <v>47</v>
      </c>
      <c r="D8" s="1">
        <v>2021</v>
      </c>
      <c r="E8" s="1">
        <v>41</v>
      </c>
      <c r="F8" s="1" t="s">
        <v>19</v>
      </c>
      <c r="G8" s="1" t="s">
        <v>28</v>
      </c>
      <c r="H8" s="1" t="s">
        <v>38</v>
      </c>
      <c r="I8" s="1" t="s">
        <v>48</v>
      </c>
      <c r="J8" s="1" t="s">
        <v>23</v>
      </c>
      <c r="K8" s="1" t="s">
        <v>24</v>
      </c>
      <c r="L8" s="1" t="s">
        <v>49</v>
      </c>
      <c r="M8" s="1">
        <v>30</v>
      </c>
      <c r="N8" s="3">
        <v>1555</v>
      </c>
      <c r="O8" s="3">
        <v>2443</v>
      </c>
      <c r="P8" s="3">
        <f t="shared" si="0"/>
        <v>26640</v>
      </c>
      <c r="Q8" s="3">
        <f t="shared" si="1"/>
        <v>46650</v>
      </c>
      <c r="R8" s="3">
        <f t="shared" si="2"/>
        <v>73290</v>
      </c>
    </row>
    <row r="9" spans="1:18" x14ac:dyDescent="0.3">
      <c r="A9" s="2">
        <v>44439</v>
      </c>
      <c r="B9" s="1">
        <v>31</v>
      </c>
      <c r="C9" s="1" t="s">
        <v>50</v>
      </c>
      <c r="D9" s="1">
        <v>2021</v>
      </c>
      <c r="E9" s="1">
        <v>32</v>
      </c>
      <c r="F9" s="1" t="s">
        <v>27</v>
      </c>
      <c r="G9" s="1" t="s">
        <v>20</v>
      </c>
      <c r="H9" s="1" t="s">
        <v>51</v>
      </c>
      <c r="I9" s="1" t="s">
        <v>52</v>
      </c>
      <c r="J9" s="1" t="s">
        <v>23</v>
      </c>
      <c r="K9" s="1" t="s">
        <v>24</v>
      </c>
      <c r="L9" s="1" t="s">
        <v>25</v>
      </c>
      <c r="M9" s="1">
        <v>14</v>
      </c>
      <c r="N9" s="3">
        <v>713</v>
      </c>
      <c r="O9" s="3">
        <v>1120</v>
      </c>
      <c r="P9" s="3">
        <f t="shared" si="0"/>
        <v>5698</v>
      </c>
      <c r="Q9" s="3">
        <f t="shared" si="1"/>
        <v>9982</v>
      </c>
      <c r="R9" s="3">
        <f t="shared" si="2"/>
        <v>15680</v>
      </c>
    </row>
    <row r="10" spans="1:18" x14ac:dyDescent="0.3">
      <c r="A10" s="2">
        <v>44469</v>
      </c>
      <c r="B10" s="1">
        <v>30</v>
      </c>
      <c r="C10" s="1" t="s">
        <v>53</v>
      </c>
      <c r="D10" s="1">
        <v>2021</v>
      </c>
      <c r="E10" s="1">
        <v>35</v>
      </c>
      <c r="F10" s="1" t="s">
        <v>19</v>
      </c>
      <c r="G10" s="1" t="s">
        <v>28</v>
      </c>
      <c r="H10" s="1" t="s">
        <v>21</v>
      </c>
      <c r="I10" s="1" t="s">
        <v>43</v>
      </c>
      <c r="J10" s="1" t="s">
        <v>23</v>
      </c>
      <c r="K10" s="1" t="s">
        <v>24</v>
      </c>
      <c r="L10" s="1" t="s">
        <v>54</v>
      </c>
      <c r="M10" s="1">
        <v>12</v>
      </c>
      <c r="N10" s="3">
        <v>713</v>
      </c>
      <c r="O10" s="3">
        <v>1120</v>
      </c>
      <c r="P10" s="3">
        <f t="shared" si="0"/>
        <v>4884</v>
      </c>
      <c r="Q10" s="3">
        <f t="shared" si="1"/>
        <v>8556</v>
      </c>
      <c r="R10" s="3">
        <f t="shared" si="2"/>
        <v>13440</v>
      </c>
    </row>
    <row r="11" spans="1:18" x14ac:dyDescent="0.3">
      <c r="A11" s="2">
        <v>44500</v>
      </c>
      <c r="B11" s="1">
        <v>31</v>
      </c>
      <c r="C11" s="1" t="s">
        <v>55</v>
      </c>
      <c r="D11" s="1">
        <v>2021</v>
      </c>
      <c r="E11" s="1">
        <v>28</v>
      </c>
      <c r="F11" s="1" t="s">
        <v>27</v>
      </c>
      <c r="G11" s="1" t="s">
        <v>20</v>
      </c>
      <c r="H11" s="1" t="s">
        <v>51</v>
      </c>
      <c r="I11" s="1" t="s">
        <v>52</v>
      </c>
      <c r="J11" s="1" t="s">
        <v>23</v>
      </c>
      <c r="K11" s="1" t="s">
        <v>40</v>
      </c>
      <c r="L11" s="1" t="s">
        <v>56</v>
      </c>
      <c r="M11" s="1">
        <v>40</v>
      </c>
      <c r="N11" s="3">
        <v>1252</v>
      </c>
      <c r="O11" s="3">
        <v>2295</v>
      </c>
      <c r="P11" s="3">
        <f t="shared" si="0"/>
        <v>41720</v>
      </c>
      <c r="Q11" s="3">
        <f t="shared" si="1"/>
        <v>50080</v>
      </c>
      <c r="R11" s="3">
        <f t="shared" si="2"/>
        <v>91800</v>
      </c>
    </row>
    <row r="12" spans="1:18" x14ac:dyDescent="0.3">
      <c r="A12" s="2">
        <v>44530</v>
      </c>
      <c r="B12" s="1">
        <v>30</v>
      </c>
      <c r="C12" s="1" t="s">
        <v>57</v>
      </c>
      <c r="D12" s="1">
        <v>2021</v>
      </c>
      <c r="E12" s="1">
        <v>39</v>
      </c>
      <c r="F12" s="1" t="s">
        <v>19</v>
      </c>
      <c r="G12" s="1" t="s">
        <v>28</v>
      </c>
      <c r="H12" s="1" t="s">
        <v>21</v>
      </c>
      <c r="I12" s="1" t="s">
        <v>43</v>
      </c>
      <c r="J12" s="1" t="s">
        <v>23</v>
      </c>
      <c r="K12" s="1" t="s">
        <v>24</v>
      </c>
      <c r="L12" s="1" t="s">
        <v>31</v>
      </c>
      <c r="M12" s="1">
        <v>47</v>
      </c>
      <c r="N12" s="3">
        <v>2171</v>
      </c>
      <c r="O12" s="3">
        <v>3578</v>
      </c>
      <c r="P12" s="3">
        <f t="shared" si="0"/>
        <v>66129</v>
      </c>
      <c r="Q12" s="3">
        <f t="shared" si="1"/>
        <v>102037</v>
      </c>
      <c r="R12" s="3">
        <f t="shared" si="2"/>
        <v>168166</v>
      </c>
    </row>
    <row r="13" spans="1:18" x14ac:dyDescent="0.3">
      <c r="A13" s="2">
        <v>44561</v>
      </c>
      <c r="B13" s="1">
        <v>31</v>
      </c>
      <c r="C13" s="1" t="s">
        <v>58</v>
      </c>
      <c r="D13" s="1">
        <v>2021</v>
      </c>
      <c r="E13" s="1">
        <v>45</v>
      </c>
      <c r="F13" s="1" t="s">
        <v>19</v>
      </c>
      <c r="G13" s="1" t="s">
        <v>20</v>
      </c>
      <c r="H13" s="1" t="s">
        <v>34</v>
      </c>
      <c r="I13" s="1" t="s">
        <v>35</v>
      </c>
      <c r="J13" s="1" t="s">
        <v>23</v>
      </c>
      <c r="K13" s="1" t="s">
        <v>24</v>
      </c>
      <c r="L13" s="1" t="s">
        <v>44</v>
      </c>
      <c r="M13" s="1">
        <v>32</v>
      </c>
      <c r="N13" s="3">
        <v>344</v>
      </c>
      <c r="O13" s="3">
        <v>540</v>
      </c>
      <c r="P13" s="3">
        <f t="shared" si="0"/>
        <v>6272</v>
      </c>
      <c r="Q13" s="3">
        <f t="shared" si="1"/>
        <v>11008</v>
      </c>
      <c r="R13" s="3">
        <f t="shared" si="2"/>
        <v>17280</v>
      </c>
    </row>
    <row r="14" spans="1:18" x14ac:dyDescent="0.3">
      <c r="A14" s="2">
        <v>44592</v>
      </c>
      <c r="B14" s="1">
        <v>31</v>
      </c>
      <c r="C14" s="1" t="s">
        <v>18</v>
      </c>
      <c r="D14" s="1">
        <v>2022</v>
      </c>
      <c r="E14" s="1">
        <v>45</v>
      </c>
      <c r="F14" s="1" t="s">
        <v>19</v>
      </c>
      <c r="G14" s="1" t="s">
        <v>28</v>
      </c>
      <c r="H14" s="1" t="s">
        <v>38</v>
      </c>
      <c r="I14" s="1" t="s">
        <v>59</v>
      </c>
      <c r="J14" s="1" t="s">
        <v>23</v>
      </c>
      <c r="K14" s="1" t="s">
        <v>24</v>
      </c>
      <c r="L14" s="1" t="s">
        <v>60</v>
      </c>
      <c r="M14" s="1">
        <v>28</v>
      </c>
      <c r="N14" s="3">
        <v>344</v>
      </c>
      <c r="O14" s="3">
        <v>540</v>
      </c>
      <c r="P14" s="3">
        <f t="shared" si="0"/>
        <v>5488</v>
      </c>
      <c r="Q14" s="3">
        <f t="shared" si="1"/>
        <v>9632</v>
      </c>
      <c r="R14" s="3">
        <f t="shared" si="2"/>
        <v>15120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9313-DF15-4DF5-884F-D7C5680BA771}">
  <dimension ref="A1:R6"/>
  <sheetViews>
    <sheetView topLeftCell="E1" workbookViewId="0">
      <selection activeCell="I14" sqref="I14"/>
    </sheetView>
  </sheetViews>
  <sheetFormatPr defaultRowHeight="14.4" x14ac:dyDescent="0.3"/>
  <cols>
    <col min="1" max="1" width="10.33203125" bestFit="1" customWidth="1"/>
    <col min="2" max="2" width="4.109375" bestFit="1" customWidth="1"/>
    <col min="3" max="3" width="8.109375" bestFit="1" customWidth="1"/>
    <col min="4" max="4" width="5" bestFit="1" customWidth="1"/>
    <col min="5" max="5" width="12.88671875" bestFit="1" customWidth="1"/>
    <col min="6" max="6" width="17.88671875" bestFit="1" customWidth="1"/>
    <col min="7" max="7" width="15.88671875" bestFit="1" customWidth="1"/>
    <col min="8" max="8" width="14" bestFit="1" customWidth="1"/>
    <col min="9" max="9" width="13.33203125" bestFit="1" customWidth="1"/>
    <col min="10" max="10" width="15.77734375" bestFit="1" customWidth="1"/>
    <col min="11" max="11" width="13.6640625" bestFit="1" customWidth="1"/>
    <col min="12" max="12" width="20.44140625" bestFit="1" customWidth="1"/>
    <col min="13" max="13" width="13.77734375" bestFit="1" customWidth="1"/>
    <col min="14" max="15" width="10.33203125" bestFit="1" customWidth="1"/>
    <col min="16" max="18" width="11.33203125" bestFit="1" customWidth="1"/>
  </cols>
  <sheetData>
    <row r="1" spans="1:18" s="4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x14ac:dyDescent="0.3">
      <c r="A2" s="2">
        <v>44595</v>
      </c>
      <c r="B2" s="1">
        <v>27</v>
      </c>
      <c r="C2" s="1" t="s">
        <v>26</v>
      </c>
      <c r="D2" s="1">
        <v>2022</v>
      </c>
      <c r="E2" s="1">
        <v>29</v>
      </c>
      <c r="F2" s="1" t="s">
        <v>27</v>
      </c>
      <c r="G2" s="1" t="s">
        <v>28</v>
      </c>
      <c r="H2" s="1" t="s">
        <v>21</v>
      </c>
      <c r="I2" s="1" t="s">
        <v>43</v>
      </c>
      <c r="J2" s="1" t="s">
        <v>23</v>
      </c>
      <c r="K2" s="1" t="s">
        <v>40</v>
      </c>
      <c r="L2" s="1" t="s">
        <v>61</v>
      </c>
      <c r="M2" s="1">
        <v>18</v>
      </c>
      <c r="N2" s="3">
        <v>1266</v>
      </c>
      <c r="O2" s="3">
        <v>2320</v>
      </c>
      <c r="P2" s="3">
        <f>R2-Q2</f>
        <v>18972</v>
      </c>
      <c r="Q2" s="3">
        <f>M2*N2</f>
        <v>22788</v>
      </c>
      <c r="R2" s="3">
        <f>M2*O2</f>
        <v>41760</v>
      </c>
    </row>
    <row r="3" spans="1:18" x14ac:dyDescent="0.3">
      <c r="A3" s="2">
        <v>44623</v>
      </c>
      <c r="B3" s="1">
        <v>31</v>
      </c>
      <c r="C3" s="1" t="s">
        <v>32</v>
      </c>
      <c r="D3" s="1">
        <v>2022</v>
      </c>
      <c r="E3" s="1">
        <v>38</v>
      </c>
      <c r="F3" s="1" t="s">
        <v>19</v>
      </c>
      <c r="G3" s="1" t="s">
        <v>20</v>
      </c>
      <c r="H3" s="1" t="s">
        <v>51</v>
      </c>
      <c r="I3" s="1" t="s">
        <v>52</v>
      </c>
      <c r="J3" s="1" t="s">
        <v>23</v>
      </c>
      <c r="K3" s="1" t="s">
        <v>40</v>
      </c>
      <c r="L3" s="1" t="s">
        <v>61</v>
      </c>
      <c r="M3" s="1">
        <v>16</v>
      </c>
      <c r="N3" s="3">
        <v>1266</v>
      </c>
      <c r="O3" s="3">
        <v>2320</v>
      </c>
      <c r="P3" s="3">
        <f>R3-Q3</f>
        <v>16864</v>
      </c>
      <c r="Q3" s="3">
        <f>M3*N3</f>
        <v>20256</v>
      </c>
      <c r="R3" s="3">
        <f>M3*O3</f>
        <v>37120</v>
      </c>
    </row>
    <row r="4" spans="1:18" x14ac:dyDescent="0.3">
      <c r="A4" s="2">
        <v>44654</v>
      </c>
      <c r="B4" s="1">
        <v>30</v>
      </c>
      <c r="C4" s="1" t="s">
        <v>37</v>
      </c>
      <c r="D4" s="1">
        <v>2022</v>
      </c>
      <c r="E4" s="1">
        <v>42</v>
      </c>
      <c r="F4" s="1" t="s">
        <v>19</v>
      </c>
      <c r="G4" s="1" t="s">
        <v>28</v>
      </c>
      <c r="H4" s="1" t="s">
        <v>38</v>
      </c>
      <c r="I4" s="1" t="s">
        <v>39</v>
      </c>
      <c r="J4" s="1" t="s">
        <v>23</v>
      </c>
      <c r="K4" s="1" t="s">
        <v>24</v>
      </c>
      <c r="L4" s="1" t="s">
        <v>60</v>
      </c>
      <c r="M4" s="1">
        <v>11</v>
      </c>
      <c r="N4" s="3">
        <v>344</v>
      </c>
      <c r="O4" s="3">
        <v>540</v>
      </c>
      <c r="P4" s="3">
        <f>R4-Q4</f>
        <v>2156</v>
      </c>
      <c r="Q4" s="3">
        <f>M4*N4</f>
        <v>3784</v>
      </c>
      <c r="R4" s="3">
        <f>M4*O4</f>
        <v>5940</v>
      </c>
    </row>
    <row r="5" spans="1:18" x14ac:dyDescent="0.3">
      <c r="A5" s="2">
        <v>44684</v>
      </c>
      <c r="B5" s="1">
        <v>31</v>
      </c>
      <c r="C5" s="1" t="s">
        <v>42</v>
      </c>
      <c r="D5" s="1">
        <v>2022</v>
      </c>
      <c r="E5" s="1">
        <v>47</v>
      </c>
      <c r="F5" s="1" t="s">
        <v>19</v>
      </c>
      <c r="G5" s="1" t="s">
        <v>20</v>
      </c>
      <c r="H5" s="1" t="s">
        <v>38</v>
      </c>
      <c r="I5" s="1" t="s">
        <v>59</v>
      </c>
      <c r="J5" s="1" t="s">
        <v>23</v>
      </c>
      <c r="K5" s="1" t="s">
        <v>24</v>
      </c>
      <c r="L5" s="1" t="s">
        <v>62</v>
      </c>
      <c r="M5" s="1">
        <v>17</v>
      </c>
      <c r="N5" s="3">
        <v>713</v>
      </c>
      <c r="O5" s="3">
        <v>1120</v>
      </c>
      <c r="P5" s="3">
        <f>R5-Q5</f>
        <v>6919</v>
      </c>
      <c r="Q5" s="3">
        <f>M5*N5</f>
        <v>12121</v>
      </c>
      <c r="R5" s="3">
        <f>M5*O5</f>
        <v>19040</v>
      </c>
    </row>
    <row r="6" spans="1:18" x14ac:dyDescent="0.3">
      <c r="A6" s="2">
        <v>44716</v>
      </c>
      <c r="B6" s="1">
        <v>30</v>
      </c>
      <c r="C6" s="1" t="s">
        <v>45</v>
      </c>
      <c r="D6" s="1">
        <v>2022</v>
      </c>
      <c r="E6" s="1">
        <v>28</v>
      </c>
      <c r="F6" s="1" t="s">
        <v>27</v>
      </c>
      <c r="G6" s="1" t="s">
        <v>20</v>
      </c>
      <c r="H6" s="1" t="s">
        <v>51</v>
      </c>
      <c r="I6" s="1" t="s">
        <v>52</v>
      </c>
      <c r="J6" s="1" t="s">
        <v>23</v>
      </c>
      <c r="K6" s="1" t="s">
        <v>40</v>
      </c>
      <c r="L6" s="1" t="s">
        <v>56</v>
      </c>
      <c r="M6" s="1">
        <v>36</v>
      </c>
      <c r="N6" s="3">
        <v>1252</v>
      </c>
      <c r="O6" s="3">
        <v>2295</v>
      </c>
      <c r="P6" s="3">
        <f>R6-Q6</f>
        <v>37548</v>
      </c>
      <c r="Q6" s="3">
        <f>M6*N6</f>
        <v>45072</v>
      </c>
      <c r="R6" s="3">
        <f>M6*O6</f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B344-24F0-4B09-8D97-101C26726F39}">
  <dimension ref="A1:D2"/>
  <sheetViews>
    <sheetView tabSelected="1" workbookViewId="0">
      <selection activeCell="D14" sqref="D14"/>
    </sheetView>
  </sheetViews>
  <sheetFormatPr defaultRowHeight="14.4" x14ac:dyDescent="0.3"/>
  <cols>
    <col min="1" max="1" width="16.5546875" bestFit="1" customWidth="1"/>
    <col min="2" max="2" width="20.88671875" bestFit="1" customWidth="1"/>
    <col min="3" max="3" width="16.5546875" bestFit="1" customWidth="1"/>
    <col min="4" max="4" width="20.88671875" bestFit="1" customWidth="1"/>
  </cols>
  <sheetData>
    <row r="1" spans="1:4" x14ac:dyDescent="0.3">
      <c r="A1" s="7" t="s">
        <v>63</v>
      </c>
      <c r="B1" s="7" t="s">
        <v>64</v>
      </c>
      <c r="C1" s="7" t="s">
        <v>65</v>
      </c>
      <c r="D1" s="7" t="s">
        <v>66</v>
      </c>
    </row>
    <row r="2" spans="1:4" x14ac:dyDescent="0.3">
      <c r="A2" s="6">
        <f>AVERAGE(BikeSales_2021!Q2:Q14)</f>
        <v>28495.923076923078</v>
      </c>
      <c r="B2" s="5">
        <f>AVERAGE(BikeSales_2021!R2:R14)</f>
        <v>43764.307692307695</v>
      </c>
      <c r="C2" s="6">
        <f>AVERAGE(BikeSales_2022!Q2:Q6)</f>
        <v>20804.2</v>
      </c>
      <c r="D2" s="6">
        <f>AVERAGE(BikeSales_2022!R2:R6)</f>
        <v>37296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902ECD-5CC0-403C-89E3-2B85E553F0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BikeSales_2021</vt:lpstr>
      <vt:lpstr>BikeSales_2022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MS</dc:creator>
  <cp:lastModifiedBy>Saranya MS</cp:lastModifiedBy>
  <dcterms:created xsi:type="dcterms:W3CDTF">2025-11-10T14:23:33Z</dcterms:created>
  <dcterms:modified xsi:type="dcterms:W3CDTF">2025-11-10T14:49:11Z</dcterms:modified>
</cp:coreProperties>
</file>